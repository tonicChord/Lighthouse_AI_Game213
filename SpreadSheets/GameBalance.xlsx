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_Desktop\Lighthouse_AI_Game\SpreadSheets\"/>
    </mc:Choice>
  </mc:AlternateContent>
  <bookViews>
    <workbookView xWindow="0" yWindow="0" windowWidth="17256" windowHeight="5688"/>
  </bookViews>
  <sheets>
    <sheet name="GameBalance" sheetId="1" r:id="rId1"/>
    <sheet name="LevelPresets" sheetId="2" r:id="rId2"/>
    <sheet name="Dashboard" sheetId="3" r:id="rId3"/>
  </sheets>
  <definedNames>
    <definedName name="_xlnm._FilterDatabase" localSheetId="0" hidden="1">GameBalance!$A$4:$H$20</definedName>
  </definedNames>
  <calcPr calcId="162913"/>
</workbook>
</file>

<file path=xl/calcChain.xml><?xml version="1.0" encoding="utf-8"?>
<calcChain xmlns="http://schemas.openxmlformats.org/spreadsheetml/2006/main">
  <c r="J7" i="2" l="1"/>
  <c r="J6" i="2"/>
  <c r="J5" i="2"/>
  <c r="J4" i="2"/>
  <c r="E25" i="1"/>
  <c r="E24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<sst xmlns="http://schemas.openxmlformats.org/spreadsheetml/2006/main" count="111" uniqueCount="85">
  <si>
    <t>BEACON OF THE STORM — MASTER GAME BALANCE SPREADSHEET</t>
  </si>
  <si>
    <t>Target Directory: C:\GitHub_Desktop\Lighthouse_AI_Game\SpreadSheets\GameBalance.xlsx  |  Yellow cells are active balance values.</t>
  </si>
  <si>
    <t>Parameter_Key</t>
  </si>
  <si>
    <t>Category</t>
  </si>
  <si>
    <t>Min_Value</t>
  </si>
  <si>
    <t>Max_Value</t>
  </si>
  <si>
    <t>Active_Value</t>
  </si>
  <si>
    <t>Spread_Range</t>
  </si>
  <si>
    <t>Unit</t>
  </si>
  <si>
    <t>Description</t>
  </si>
  <si>
    <t>CargoShip_Speed</t>
  </si>
  <si>
    <t>Object Speed</t>
  </si>
  <si>
    <t>u/s</t>
  </si>
  <si>
    <t>Minimum and maximum movement speed for Cargo Ships following the light vector</t>
  </si>
  <si>
    <t>PirateShip_Speed</t>
  </si>
  <si>
    <t>Minimum and maximum movement speed for Pirate Raiders hunting cargo ships</t>
  </si>
  <si>
    <t>Kraken_Speed</t>
  </si>
  <si>
    <t>Minimum and maximum roaming speed for Sea Krakens (deflected by light)</t>
  </si>
  <si>
    <t>StormWind_Speed</t>
  </si>
  <si>
    <t>Minimum and maximum environmental storm crosswind drift speed</t>
  </si>
  <si>
    <t>WhirlpoolPull_Speed</t>
  </si>
  <si>
    <t>Minimum and maximum inward vortex pull speed exerted by Whirlpools</t>
  </si>
  <si>
    <t>Cannon_Reload_Time</t>
  </si>
  <si>
    <t>Combat &amp; Light</t>
  </si>
  <si>
    <t>seconds</t>
  </si>
  <si>
    <t>Defense cannon reload cooldown time after right-click firing</t>
  </si>
  <si>
    <t>Light_Regen_Rate</t>
  </si>
  <si>
    <t>energy/s</t>
  </si>
  <si>
    <t>Battery regeneration rate per second when spotlight is turned off</t>
  </si>
  <si>
    <t>Light_Drain_Rate</t>
  </si>
  <si>
    <t>Baseline battery drain rate per second when holding left-click</t>
  </si>
  <si>
    <t>CargoShip_Spawn_Rate</t>
  </si>
  <si>
    <t>Spawn Rates</t>
  </si>
  <si>
    <t>Time interval in seconds between new Cargo Ship spawns at sea edges</t>
  </si>
  <si>
    <t>PirateShip_Spawn_Rate</t>
  </si>
  <si>
    <t>Time interval in seconds between Pirate Raider spawns</t>
  </si>
  <si>
    <t>Kraken_Spawn_Rate</t>
  </si>
  <si>
    <t>Time interval in seconds between Kraken spawns/reinforcements</t>
  </si>
  <si>
    <t>Whirlpool_Spawn_Rate</t>
  </si>
  <si>
    <t>Time interval in seconds for dynamic Whirlpool relocation/spawning</t>
  </si>
  <si>
    <t>Level_Duration</t>
  </si>
  <si>
    <t>Level Rules</t>
  </si>
  <si>
    <t>Total length of the level in seconds before shift ends</t>
  </si>
  <si>
    <t>Save_Ships_Ratio</t>
  </si>
  <si>
    <t>percent (%)</t>
  </si>
  <si>
    <t>Required percentage of spawned Cargo Ships that must reach Safe Harbor to win</t>
  </si>
  <si>
    <t>Rock_Hazard_Density</t>
  </si>
  <si>
    <t>Hazard Density</t>
  </si>
  <si>
    <t>count</t>
  </si>
  <si>
    <t>Density (number of jagged rock clusters) spawned across the sea</t>
  </si>
  <si>
    <t>Whirlpool_Hazard_Density</t>
  </si>
  <si>
    <t>Density (number of active whirlpool vortices) maintained on the map</t>
  </si>
  <si>
    <t>DERIVED LEVEL METRICS (AUTO-CALCULATED)</t>
  </si>
  <si>
    <t>Expected Cargo Ships per Level</t>
  </si>
  <si>
    <t>Calculated</t>
  </si>
  <si>
    <t>ships</t>
  </si>
  <si>
    <t>Level_Duration / CargoShip_Spawn_Rate</t>
  </si>
  <si>
    <t>Minimum Ships Required to Win</t>
  </si>
  <si>
    <t>Expected Cargo Ships * (Save_Ships_Ratio / 100)</t>
  </si>
  <si>
    <t>Max Cannon Shots per Level</t>
  </si>
  <si>
    <t>shots</t>
  </si>
  <si>
    <t>Level_Duration / Cannon_Reload_Time</t>
  </si>
  <si>
    <t>Total Active Map Hazards</t>
  </si>
  <si>
    <t>hazards</t>
  </si>
  <si>
    <t>Rock_Hazard_Density + Whirlpool_Hazard_Density</t>
  </si>
  <si>
    <t>LEVEL PROGRESSION PRESETS &amp; DIFFICULTY SCALING</t>
  </si>
  <si>
    <t>Level_ID</t>
  </si>
  <si>
    <t>Level_Name</t>
  </si>
  <si>
    <t>Level_Duration (s)</t>
  </si>
  <si>
    <t>Save_Ships_Ratio (%)</t>
  </si>
  <si>
    <t>Cargo_Spawn (s)</t>
  </si>
  <si>
    <t>Pirate_Spawn (s)</t>
  </si>
  <si>
    <t>Kraken_Spawn (s)</t>
  </si>
  <si>
    <t>Rock_Density</t>
  </si>
  <si>
    <t>Whirlpool_Density</t>
  </si>
  <si>
    <t>Required_Saves (Formula)</t>
  </si>
  <si>
    <t>LVL_01</t>
  </si>
  <si>
    <t>Calm Harbor Approach</t>
  </si>
  <si>
    <t>LVL_02</t>
  </si>
  <si>
    <t>Gale Force Crossing</t>
  </si>
  <si>
    <t>LVL_03</t>
  </si>
  <si>
    <t>Pirate Blockade</t>
  </si>
  <si>
    <t>LVL_04</t>
  </si>
  <si>
    <t>Maelstrom of the Kraken</t>
  </si>
  <si>
    <t>GAME BALANCE VISUALIZATION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</si>
</sst>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CE6F2"/>
      <name val="Calibri"/>
    </font>
    <font>
      <b/>
      <sz val="11"/>
      <color rgb="FFFFFFFF"/>
      <name val="Calibri"/>
    </font>
    <font>
      <b/>
      <sz val="10"/>
      <color rgb="FF0F4C81"/>
      <name val="Consolas"/>
    </font>
    <font>
      <sz val="10"/>
      <color rgb="FF1E293B"/>
      <name val="Calibri"/>
    </font>
    <font>
      <b/>
      <sz val="10"/>
      <color rgb="FF1E293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C4A6F"/>
        <bgColor rgb="FF2C4A6F"/>
      </patternFill>
    </fill>
    <fill>
      <patternFill patternType="solid">
        <fgColor rgb="FFF2F6FA"/>
        <bgColor rgb="FFF2F6FA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5" fillId="4" borderId="1" xfId="0" applyFont="1" applyFill="1" applyBorder="1"/>
    <xf numFmtId="0" fontId="0" fillId="4" borderId="1" xfId="0" applyFill="1" applyBorder="1"/>
    <xf numFmtId="1" fontId="6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3" fillId="3" borderId="0" xfId="0" applyFont="1" applyFill="1"/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Entity Speed Ranges (Min vs Max vs Active u/s)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GameBalance!$C$4</c:f>
              <c:strCache>
                <c:ptCount val="1"/>
                <c:pt idx="0">
                  <c:v>Min_Value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GameBalance!$A$5:$A$9</c:f>
              <c:strCache>
                <c:ptCount val="5"/>
                <c:pt idx="0">
                  <c:v>CargoShip_Speed</c:v>
                </c:pt>
                <c:pt idx="1">
                  <c:v>PirateShip_Speed</c:v>
                </c:pt>
                <c:pt idx="2">
                  <c:v>Kraken_Speed</c:v>
                </c:pt>
                <c:pt idx="3">
                  <c:v>StormWind_Speed</c:v>
                </c:pt>
                <c:pt idx="4">
                  <c:v>WhirlpoolPull_Speed</c:v>
                </c:pt>
              </c:strCache>
            </c:strRef>
          </c:cat>
          <c:val>
            <c:numRef>
              <c:f>GameBalance!$C$5:$C$9</c:f>
              <c:numCache>
                <c:formatCode>0.0</c:formatCode>
                <c:ptCount val="5"/>
                <c:pt idx="0">
                  <c:v>30</c:v>
                </c:pt>
                <c:pt idx="1">
                  <c:v>38</c:v>
                </c:pt>
                <c:pt idx="2">
                  <c:v>18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2-4E64-B938-0D1670E89419}"/>
            </c:ext>
          </c:extLst>
        </c:ser>
        <c:ser>
          <c:idx val="1"/>
          <c:order val="1"/>
          <c:tx>
            <c:strRef>
              <c:f>GameBalance!$D$4</c:f>
              <c:strCache>
                <c:ptCount val="1"/>
                <c:pt idx="0">
                  <c:v>Max_Value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GameBalance!$A$5:$A$9</c:f>
              <c:strCache>
                <c:ptCount val="5"/>
                <c:pt idx="0">
                  <c:v>CargoShip_Speed</c:v>
                </c:pt>
                <c:pt idx="1">
                  <c:v>PirateShip_Speed</c:v>
                </c:pt>
                <c:pt idx="2">
                  <c:v>Kraken_Speed</c:v>
                </c:pt>
                <c:pt idx="3">
                  <c:v>StormWind_Speed</c:v>
                </c:pt>
                <c:pt idx="4">
                  <c:v>WhirlpoolPull_Speed</c:v>
                </c:pt>
              </c:strCache>
            </c:strRef>
          </c:cat>
          <c:val>
            <c:numRef>
              <c:f>GameBalance!$D$5:$D$9</c:f>
              <c:numCache>
                <c:formatCode>0.0</c:formatCode>
                <c:ptCount val="5"/>
                <c:pt idx="0">
                  <c:v>56</c:v>
                </c:pt>
                <c:pt idx="1">
                  <c:v>68</c:v>
                </c:pt>
                <c:pt idx="2">
                  <c:v>36</c:v>
                </c:pt>
                <c:pt idx="3">
                  <c:v>32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2-4E64-B938-0D1670E89419}"/>
            </c:ext>
          </c:extLst>
        </c:ser>
        <c:ser>
          <c:idx val="2"/>
          <c:order val="2"/>
          <c:tx>
            <c:strRef>
              <c:f>GameBalance!$E$4</c:f>
              <c:strCache>
                <c:ptCount val="1"/>
                <c:pt idx="0">
                  <c:v>Active_Value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GameBalance!$A$5:$A$9</c:f>
              <c:strCache>
                <c:ptCount val="5"/>
                <c:pt idx="0">
                  <c:v>CargoShip_Speed</c:v>
                </c:pt>
                <c:pt idx="1">
                  <c:v>PirateShip_Speed</c:v>
                </c:pt>
                <c:pt idx="2">
                  <c:v>Kraken_Speed</c:v>
                </c:pt>
                <c:pt idx="3">
                  <c:v>StormWind_Speed</c:v>
                </c:pt>
                <c:pt idx="4">
                  <c:v>WhirlpoolPull_Speed</c:v>
                </c:pt>
              </c:strCache>
            </c:strRef>
          </c:cat>
          <c:val>
            <c:numRef>
              <c:f>GameBalance!$E$5:$E$9</c:f>
              <c:numCache>
                <c:formatCode>0.0</c:formatCode>
                <c:ptCount val="5"/>
                <c:pt idx="0">
                  <c:v>56</c:v>
                </c:pt>
                <c:pt idx="1">
                  <c:v>1</c:v>
                </c:pt>
                <c:pt idx="2">
                  <c:v>27</c:v>
                </c:pt>
                <c:pt idx="3">
                  <c:v>22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2-4E64-B938-0D1670E89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Moving Entity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 (World Units / Sec)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Spawn Intervals &amp; Combat Timers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GameBalance!$C$4</c:f>
              <c:strCache>
                <c:ptCount val="1"/>
                <c:pt idx="0">
                  <c:v>Min_Value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GameBalance!$A$13:$A$16</c:f>
              <c:strCache>
                <c:ptCount val="4"/>
                <c:pt idx="0">
                  <c:v>CargoShip_Spawn_Rate</c:v>
                </c:pt>
                <c:pt idx="1">
                  <c:v>PirateShip_Spawn_Rate</c:v>
                </c:pt>
                <c:pt idx="2">
                  <c:v>Kraken_Spawn_Rate</c:v>
                </c:pt>
                <c:pt idx="3">
                  <c:v>Whirlpool_Spawn_Rate</c:v>
                </c:pt>
              </c:strCache>
            </c:strRef>
          </c:cat>
          <c:val>
            <c:numRef>
              <c:f>GameBalance!$C$5:$C$16</c:f>
              <c:numCache>
                <c:formatCode>0.0</c:formatCode>
                <c:ptCount val="12"/>
                <c:pt idx="0">
                  <c:v>30</c:v>
                </c:pt>
                <c:pt idx="1">
                  <c:v>38</c:v>
                </c:pt>
                <c:pt idx="2">
                  <c:v>18</c:v>
                </c:pt>
                <c:pt idx="3">
                  <c:v>14</c:v>
                </c:pt>
                <c:pt idx="4">
                  <c:v>20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5-4324-B66E-E1164999FC97}"/>
            </c:ext>
          </c:extLst>
        </c:ser>
        <c:ser>
          <c:idx val="1"/>
          <c:order val="1"/>
          <c:tx>
            <c:strRef>
              <c:f>GameBalance!$D$4</c:f>
              <c:strCache>
                <c:ptCount val="1"/>
                <c:pt idx="0">
                  <c:v>Max_Value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GameBalance!$A$13:$A$16</c:f>
              <c:strCache>
                <c:ptCount val="4"/>
                <c:pt idx="0">
                  <c:v>CargoShip_Spawn_Rate</c:v>
                </c:pt>
                <c:pt idx="1">
                  <c:v>PirateShip_Spawn_Rate</c:v>
                </c:pt>
                <c:pt idx="2">
                  <c:v>Kraken_Spawn_Rate</c:v>
                </c:pt>
                <c:pt idx="3">
                  <c:v>Whirlpool_Spawn_Rate</c:v>
                </c:pt>
              </c:strCache>
            </c:strRef>
          </c:cat>
          <c:val>
            <c:numRef>
              <c:f>GameBalance!$D$5:$D$16</c:f>
              <c:numCache>
                <c:formatCode>0.0</c:formatCode>
                <c:ptCount val="12"/>
                <c:pt idx="0">
                  <c:v>56</c:v>
                </c:pt>
                <c:pt idx="1">
                  <c:v>68</c:v>
                </c:pt>
                <c:pt idx="2">
                  <c:v>36</c:v>
                </c:pt>
                <c:pt idx="3">
                  <c:v>32</c:v>
                </c:pt>
                <c:pt idx="4">
                  <c:v>45</c:v>
                </c:pt>
                <c:pt idx="5">
                  <c:v>8</c:v>
                </c:pt>
                <c:pt idx="6">
                  <c:v>50</c:v>
                </c:pt>
                <c:pt idx="7">
                  <c:v>40</c:v>
                </c:pt>
                <c:pt idx="8">
                  <c:v>15</c:v>
                </c:pt>
                <c:pt idx="9">
                  <c:v>30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5-4324-B66E-E1164999FC97}"/>
            </c:ext>
          </c:extLst>
        </c:ser>
        <c:ser>
          <c:idx val="2"/>
          <c:order val="2"/>
          <c:tx>
            <c:strRef>
              <c:f>GameBalance!$E$4</c:f>
              <c:strCache>
                <c:ptCount val="1"/>
                <c:pt idx="0">
                  <c:v>Active_Value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GameBalance!$A$13:$A$16</c:f>
              <c:strCache>
                <c:ptCount val="4"/>
                <c:pt idx="0">
                  <c:v>CargoShip_Spawn_Rate</c:v>
                </c:pt>
                <c:pt idx="1">
                  <c:v>PirateShip_Spawn_Rate</c:v>
                </c:pt>
                <c:pt idx="2">
                  <c:v>Kraken_Spawn_Rate</c:v>
                </c:pt>
                <c:pt idx="3">
                  <c:v>Whirlpool_Spawn_Rate</c:v>
                </c:pt>
              </c:strCache>
            </c:strRef>
          </c:cat>
          <c:val>
            <c:numRef>
              <c:f>GameBalance!$E$5:$E$16</c:f>
              <c:numCache>
                <c:formatCode>0.0</c:formatCode>
                <c:ptCount val="12"/>
                <c:pt idx="0">
                  <c:v>56</c:v>
                </c:pt>
                <c:pt idx="1">
                  <c:v>1</c:v>
                </c:pt>
                <c:pt idx="2">
                  <c:v>27</c:v>
                </c:pt>
                <c:pt idx="3">
                  <c:v>22</c:v>
                </c:pt>
                <c:pt idx="4">
                  <c:v>32</c:v>
                </c:pt>
                <c:pt idx="5">
                  <c:v>1</c:v>
                </c:pt>
                <c:pt idx="6">
                  <c:v>22</c:v>
                </c:pt>
                <c:pt idx="7">
                  <c:v>14</c:v>
                </c:pt>
                <c:pt idx="8">
                  <c:v>6</c:v>
                </c:pt>
                <c:pt idx="9">
                  <c:v>30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5-4324-B66E-E1164999F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Timer Parameter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</xdr:row>
      <xdr:rowOff>0</xdr:rowOff>
    </xdr:from>
    <xdr:ext cx="648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44" customWidth="1"/>
    <col min="2" max="2" width="19" customWidth="1"/>
    <col min="3" max="4" width="14" customWidth="1"/>
    <col min="5" max="6" width="17" customWidth="1"/>
    <col min="7" max="7" width="16" customWidth="1"/>
    <col min="8" max="8" width="82" customWidth="1"/>
  </cols>
  <sheetData>
    <row r="1" spans="1:8" ht="30" customHeight="1" x14ac:dyDescent="0.3">
      <c r="A1" s="27" t="s">
        <v>0</v>
      </c>
      <c r="B1" s="25"/>
      <c r="C1" s="25"/>
      <c r="D1" s="25"/>
      <c r="E1" s="25"/>
      <c r="F1" s="25"/>
      <c r="G1" s="25"/>
      <c r="H1" s="25"/>
    </row>
    <row r="2" spans="1:8" ht="19.95" customHeight="1" x14ac:dyDescent="0.3">
      <c r="A2" s="26" t="s">
        <v>1</v>
      </c>
      <c r="B2" s="25"/>
      <c r="C2" s="25"/>
      <c r="D2" s="25"/>
      <c r="E2" s="25"/>
      <c r="F2" s="25"/>
      <c r="G2" s="25"/>
      <c r="H2" s="25"/>
    </row>
    <row r="4" spans="1:8" ht="24" customHeight="1" x14ac:dyDescent="0.3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1" t="s">
        <v>9</v>
      </c>
    </row>
    <row r="5" spans="1:8" ht="19.95" customHeight="1" x14ac:dyDescent="0.3">
      <c r="A5" s="3" t="s">
        <v>10</v>
      </c>
      <c r="B5" s="4" t="s">
        <v>11</v>
      </c>
      <c r="C5" s="5">
        <v>30</v>
      </c>
      <c r="D5" s="5">
        <v>56</v>
      </c>
      <c r="E5" s="6">
        <v>56</v>
      </c>
      <c r="F5" s="7">
        <f t="shared" ref="F5:F20" si="0">D5-C5</f>
        <v>26</v>
      </c>
      <c r="G5" s="8" t="s">
        <v>12</v>
      </c>
      <c r="H5" s="4" t="s">
        <v>13</v>
      </c>
    </row>
    <row r="6" spans="1:8" ht="19.95" customHeight="1" x14ac:dyDescent="0.3">
      <c r="A6" s="9" t="s">
        <v>14</v>
      </c>
      <c r="B6" s="10" t="s">
        <v>11</v>
      </c>
      <c r="C6" s="5">
        <v>38</v>
      </c>
      <c r="D6" s="5">
        <v>68</v>
      </c>
      <c r="E6" s="6">
        <v>1</v>
      </c>
      <c r="F6" s="11">
        <f t="shared" si="0"/>
        <v>30</v>
      </c>
      <c r="G6" s="12" t="s">
        <v>12</v>
      </c>
      <c r="H6" s="10" t="s">
        <v>15</v>
      </c>
    </row>
    <row r="7" spans="1:8" ht="19.95" customHeight="1" x14ac:dyDescent="0.3">
      <c r="A7" s="3" t="s">
        <v>16</v>
      </c>
      <c r="B7" s="4" t="s">
        <v>11</v>
      </c>
      <c r="C7" s="5">
        <v>18</v>
      </c>
      <c r="D7" s="5">
        <v>36</v>
      </c>
      <c r="E7" s="6">
        <v>27</v>
      </c>
      <c r="F7" s="7">
        <f t="shared" si="0"/>
        <v>18</v>
      </c>
      <c r="G7" s="8" t="s">
        <v>12</v>
      </c>
      <c r="H7" s="4" t="s">
        <v>17</v>
      </c>
    </row>
    <row r="8" spans="1:8" ht="19.95" customHeight="1" x14ac:dyDescent="0.3">
      <c r="A8" s="9" t="s">
        <v>18</v>
      </c>
      <c r="B8" s="10" t="s">
        <v>11</v>
      </c>
      <c r="C8" s="5">
        <v>14</v>
      </c>
      <c r="D8" s="5">
        <v>32</v>
      </c>
      <c r="E8" s="6">
        <v>22</v>
      </c>
      <c r="F8" s="11">
        <f t="shared" si="0"/>
        <v>18</v>
      </c>
      <c r="G8" s="12" t="s">
        <v>12</v>
      </c>
      <c r="H8" s="10" t="s">
        <v>19</v>
      </c>
    </row>
    <row r="9" spans="1:8" ht="19.95" customHeight="1" x14ac:dyDescent="0.3">
      <c r="A9" s="3" t="s">
        <v>20</v>
      </c>
      <c r="B9" s="4" t="s">
        <v>11</v>
      </c>
      <c r="C9" s="5">
        <v>20</v>
      </c>
      <c r="D9" s="5">
        <v>45</v>
      </c>
      <c r="E9" s="6">
        <v>32</v>
      </c>
      <c r="F9" s="7">
        <f t="shared" si="0"/>
        <v>25</v>
      </c>
      <c r="G9" s="8" t="s">
        <v>12</v>
      </c>
      <c r="H9" s="4" t="s">
        <v>21</v>
      </c>
    </row>
    <row r="10" spans="1:8" ht="19.95" customHeight="1" x14ac:dyDescent="0.3">
      <c r="A10" s="9" t="s">
        <v>22</v>
      </c>
      <c r="B10" s="10" t="s">
        <v>23</v>
      </c>
      <c r="C10" s="5">
        <v>1</v>
      </c>
      <c r="D10" s="5">
        <v>8</v>
      </c>
      <c r="E10" s="6">
        <v>1</v>
      </c>
      <c r="F10" s="11">
        <f t="shared" si="0"/>
        <v>7</v>
      </c>
      <c r="G10" s="12" t="s">
        <v>24</v>
      </c>
      <c r="H10" s="10" t="s">
        <v>25</v>
      </c>
    </row>
    <row r="11" spans="1:8" ht="19.95" customHeight="1" x14ac:dyDescent="0.3">
      <c r="A11" s="3" t="s">
        <v>26</v>
      </c>
      <c r="B11" s="4" t="s">
        <v>23</v>
      </c>
      <c r="C11" s="5">
        <v>5</v>
      </c>
      <c r="D11" s="5">
        <v>50</v>
      </c>
      <c r="E11" s="6">
        <v>22</v>
      </c>
      <c r="F11" s="7">
        <f t="shared" si="0"/>
        <v>45</v>
      </c>
      <c r="G11" s="8" t="s">
        <v>27</v>
      </c>
      <c r="H11" s="4" t="s">
        <v>28</v>
      </c>
    </row>
    <row r="12" spans="1:8" ht="19.95" customHeight="1" x14ac:dyDescent="0.3">
      <c r="A12" s="9" t="s">
        <v>29</v>
      </c>
      <c r="B12" s="10" t="s">
        <v>23</v>
      </c>
      <c r="C12" s="5">
        <v>5</v>
      </c>
      <c r="D12" s="5">
        <v>40</v>
      </c>
      <c r="E12" s="6">
        <v>14</v>
      </c>
      <c r="F12" s="11">
        <f t="shared" si="0"/>
        <v>35</v>
      </c>
      <c r="G12" s="12" t="s">
        <v>27</v>
      </c>
      <c r="H12" s="10" t="s">
        <v>30</v>
      </c>
    </row>
    <row r="13" spans="1:8" ht="19.95" customHeight="1" x14ac:dyDescent="0.3">
      <c r="A13" s="3" t="s">
        <v>31</v>
      </c>
      <c r="B13" s="4" t="s">
        <v>32</v>
      </c>
      <c r="C13" s="5">
        <v>3</v>
      </c>
      <c r="D13" s="5">
        <v>15</v>
      </c>
      <c r="E13" s="6">
        <v>6</v>
      </c>
      <c r="F13" s="7">
        <f t="shared" si="0"/>
        <v>12</v>
      </c>
      <c r="G13" s="8" t="s">
        <v>24</v>
      </c>
      <c r="H13" s="4" t="s">
        <v>33</v>
      </c>
    </row>
    <row r="14" spans="1:8" ht="19.95" customHeight="1" x14ac:dyDescent="0.3">
      <c r="A14" s="9" t="s">
        <v>34</v>
      </c>
      <c r="B14" s="10" t="s">
        <v>32</v>
      </c>
      <c r="C14" s="5">
        <v>6</v>
      </c>
      <c r="D14" s="5">
        <v>30</v>
      </c>
      <c r="E14" s="6">
        <v>30</v>
      </c>
      <c r="F14" s="11">
        <f t="shared" si="0"/>
        <v>24</v>
      </c>
      <c r="G14" s="12" t="s">
        <v>24</v>
      </c>
      <c r="H14" s="10" t="s">
        <v>35</v>
      </c>
    </row>
    <row r="15" spans="1:8" ht="19.95" customHeight="1" x14ac:dyDescent="0.3">
      <c r="A15" s="3" t="s">
        <v>36</v>
      </c>
      <c r="B15" s="4" t="s">
        <v>32</v>
      </c>
      <c r="C15" s="5">
        <v>10</v>
      </c>
      <c r="D15" s="5">
        <v>45</v>
      </c>
      <c r="E15" s="6">
        <v>22</v>
      </c>
      <c r="F15" s="7">
        <f t="shared" si="0"/>
        <v>35</v>
      </c>
      <c r="G15" s="8" t="s">
        <v>24</v>
      </c>
      <c r="H15" s="4" t="s">
        <v>37</v>
      </c>
    </row>
    <row r="16" spans="1:8" ht="19.95" customHeight="1" x14ac:dyDescent="0.3">
      <c r="A16" s="9" t="s">
        <v>38</v>
      </c>
      <c r="B16" s="10" t="s">
        <v>32</v>
      </c>
      <c r="C16" s="5">
        <v>8</v>
      </c>
      <c r="D16" s="5">
        <v>40</v>
      </c>
      <c r="E16" s="6">
        <v>18</v>
      </c>
      <c r="F16" s="11">
        <f t="shared" si="0"/>
        <v>32</v>
      </c>
      <c r="G16" s="12" t="s">
        <v>24</v>
      </c>
      <c r="H16" s="10" t="s">
        <v>39</v>
      </c>
    </row>
    <row r="17" spans="1:8" ht="19.95" customHeight="1" x14ac:dyDescent="0.3">
      <c r="A17" s="3" t="s">
        <v>40</v>
      </c>
      <c r="B17" s="4" t="s">
        <v>41</v>
      </c>
      <c r="C17" s="5">
        <v>60</v>
      </c>
      <c r="D17" s="5">
        <v>600</v>
      </c>
      <c r="E17" s="6">
        <v>60</v>
      </c>
      <c r="F17" s="7">
        <f t="shared" si="0"/>
        <v>540</v>
      </c>
      <c r="G17" s="8" t="s">
        <v>24</v>
      </c>
      <c r="H17" s="4" t="s">
        <v>42</v>
      </c>
    </row>
    <row r="18" spans="1:8" ht="19.95" customHeight="1" x14ac:dyDescent="0.3">
      <c r="A18" s="9" t="s">
        <v>43</v>
      </c>
      <c r="B18" s="10" t="s">
        <v>41</v>
      </c>
      <c r="C18" s="5">
        <v>20</v>
      </c>
      <c r="D18" s="5">
        <v>100</v>
      </c>
      <c r="E18" s="6">
        <v>65</v>
      </c>
      <c r="F18" s="11">
        <f t="shared" si="0"/>
        <v>80</v>
      </c>
      <c r="G18" s="12" t="s">
        <v>44</v>
      </c>
      <c r="H18" s="10" t="s">
        <v>45</v>
      </c>
    </row>
    <row r="19" spans="1:8" ht="19.95" customHeight="1" x14ac:dyDescent="0.3">
      <c r="A19" s="3" t="s">
        <v>46</v>
      </c>
      <c r="B19" s="4" t="s">
        <v>47</v>
      </c>
      <c r="C19" s="5">
        <v>2</v>
      </c>
      <c r="D19" s="5">
        <v>20</v>
      </c>
      <c r="E19" s="6">
        <v>8</v>
      </c>
      <c r="F19" s="7">
        <f t="shared" si="0"/>
        <v>18</v>
      </c>
      <c r="G19" s="8" t="s">
        <v>48</v>
      </c>
      <c r="H19" s="4" t="s">
        <v>49</v>
      </c>
    </row>
    <row r="20" spans="1:8" ht="19.95" customHeight="1" x14ac:dyDescent="0.3">
      <c r="A20" s="9" t="s">
        <v>50</v>
      </c>
      <c r="B20" s="10" t="s">
        <v>47</v>
      </c>
      <c r="C20" s="5">
        <v>1</v>
      </c>
      <c r="D20" s="5">
        <v>10</v>
      </c>
      <c r="E20" s="6">
        <v>1</v>
      </c>
      <c r="F20" s="11">
        <f t="shared" si="0"/>
        <v>9</v>
      </c>
      <c r="G20" s="12" t="s">
        <v>48</v>
      </c>
      <c r="H20" s="10" t="s">
        <v>51</v>
      </c>
    </row>
    <row r="22" spans="1:8" ht="22.05" customHeight="1" x14ac:dyDescent="0.3">
      <c r="A22" s="24" t="s">
        <v>52</v>
      </c>
      <c r="B22" s="25"/>
      <c r="C22" s="25"/>
      <c r="D22" s="25"/>
      <c r="E22" s="25"/>
    </row>
    <row r="23" spans="1:8" ht="19.05" customHeight="1" x14ac:dyDescent="0.3">
      <c r="A23" s="13" t="s">
        <v>53</v>
      </c>
      <c r="B23" s="14" t="s">
        <v>54</v>
      </c>
      <c r="C23" s="15"/>
      <c r="D23" s="15"/>
      <c r="E23" s="16">
        <v>99</v>
      </c>
      <c r="F23" s="15"/>
      <c r="G23" s="17" t="s">
        <v>55</v>
      </c>
      <c r="H23" s="14" t="s">
        <v>56</v>
      </c>
    </row>
    <row r="24" spans="1:8" ht="19.05" customHeight="1" x14ac:dyDescent="0.3">
      <c r="A24" s="13" t="s">
        <v>57</v>
      </c>
      <c r="B24" s="14" t="s">
        <v>54</v>
      </c>
      <c r="C24" s="15"/>
      <c r="D24" s="15"/>
      <c r="E24" s="16">
        <f>CEILING((E17/E13)*(E18/100), 1)</f>
        <v>7</v>
      </c>
      <c r="F24" s="15"/>
      <c r="G24" s="17" t="s">
        <v>55</v>
      </c>
      <c r="H24" s="14" t="s">
        <v>58</v>
      </c>
    </row>
    <row r="25" spans="1:8" ht="19.05" customHeight="1" x14ac:dyDescent="0.3">
      <c r="A25" s="13" t="s">
        <v>59</v>
      </c>
      <c r="B25" s="14" t="s">
        <v>54</v>
      </c>
      <c r="C25" s="15"/>
      <c r="D25" s="15"/>
      <c r="E25" s="16">
        <f>FLOOR(E17/E10, 1)</f>
        <v>60</v>
      </c>
      <c r="F25" s="15"/>
      <c r="G25" s="17" t="s">
        <v>60</v>
      </c>
      <c r="H25" s="14" t="s">
        <v>61</v>
      </c>
    </row>
    <row r="26" spans="1:8" ht="19.05" customHeight="1" x14ac:dyDescent="0.3">
      <c r="A26" s="13" t="s">
        <v>62</v>
      </c>
      <c r="B26" s="14" t="s">
        <v>54</v>
      </c>
      <c r="C26" s="15"/>
      <c r="D26" s="15"/>
      <c r="E26" s="16">
        <v>0</v>
      </c>
      <c r="F26" s="15"/>
      <c r="G26" s="17" t="s">
        <v>63</v>
      </c>
      <c r="H26" s="14" t="s">
        <v>64</v>
      </c>
    </row>
  </sheetData>
  <autoFilter ref="A4:H20"/>
  <mergeCells count="3">
    <mergeCell ref="A22:E22"/>
    <mergeCell ref="A2:H2"/>
    <mergeCell ref="A1:H1"/>
  </mergeCells>
  <conditionalFormatting sqref="E5:E20">
    <cfRule type="colorScale" priority="1">
      <colorScale>
        <cfvo type="min"/>
        <cfvo type="percentile" val="50"/>
        <cfvo type="max"/>
        <color rgb="FFE0F2FE"/>
        <color rgb="FFBAE6FD"/>
        <color rgb="FF7DD3FC"/>
      </colorScale>
    </cfRule>
  </conditionalFormatting>
  <dataValidations count="1">
    <dataValidation type="list" sqref="B5:B20">
      <formula1>"Object Speed,Combat &amp; Light,Spawn Rates,Level Rules,Hazard Density"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1"/>
    </sheetView>
  </sheetViews>
  <sheetFormatPr defaultRowHeight="14.4" x14ac:dyDescent="0.3"/>
  <cols>
    <col min="1" max="1" width="14" customWidth="1"/>
    <col min="2" max="2" width="28" customWidth="1"/>
    <col min="3" max="3" width="23" customWidth="1"/>
    <col min="4" max="4" width="25" customWidth="1"/>
    <col min="5" max="5" width="20" customWidth="1"/>
    <col min="6" max="7" width="21" customWidth="1"/>
    <col min="8" max="8" width="17" customWidth="1"/>
    <col min="9" max="9" width="22" customWidth="1"/>
    <col min="10" max="10" width="29" customWidth="1"/>
  </cols>
  <sheetData>
    <row r="1" spans="1:10" ht="28.05" customHeight="1" x14ac:dyDescent="0.4">
      <c r="A1" s="28" t="s">
        <v>65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24" customHeight="1" x14ac:dyDescent="0.3">
      <c r="A3" s="18" t="s">
        <v>66</v>
      </c>
      <c r="B3" s="18" t="s">
        <v>67</v>
      </c>
      <c r="C3" s="18" t="s">
        <v>68</v>
      </c>
      <c r="D3" s="18" t="s">
        <v>69</v>
      </c>
      <c r="E3" s="18" t="s">
        <v>70</v>
      </c>
      <c r="F3" s="18" t="s">
        <v>71</v>
      </c>
      <c r="G3" s="18" t="s">
        <v>72</v>
      </c>
      <c r="H3" s="18" t="s">
        <v>73</v>
      </c>
      <c r="I3" s="18" t="s">
        <v>74</v>
      </c>
      <c r="J3" s="18" t="s">
        <v>75</v>
      </c>
    </row>
    <row r="4" spans="1:10" ht="19.95" customHeight="1" x14ac:dyDescent="0.3">
      <c r="A4" s="19" t="s">
        <v>76</v>
      </c>
      <c r="B4" s="20" t="s">
        <v>77</v>
      </c>
      <c r="C4" s="8">
        <v>120</v>
      </c>
      <c r="D4" s="8">
        <v>50</v>
      </c>
      <c r="E4" s="8">
        <v>7.5</v>
      </c>
      <c r="F4" s="8">
        <v>18</v>
      </c>
      <c r="G4" s="8">
        <v>30</v>
      </c>
      <c r="H4" s="8">
        <v>5</v>
      </c>
      <c r="I4" s="8">
        <v>2</v>
      </c>
      <c r="J4" s="21">
        <f>CEILING((C4/E4)*(D4/100), 1)</f>
        <v>8</v>
      </c>
    </row>
    <row r="5" spans="1:10" ht="19.95" customHeight="1" x14ac:dyDescent="0.3">
      <c r="A5" s="22" t="s">
        <v>78</v>
      </c>
      <c r="B5" s="23" t="s">
        <v>79</v>
      </c>
      <c r="C5" s="12">
        <v>180</v>
      </c>
      <c r="D5" s="12">
        <v>65</v>
      </c>
      <c r="E5" s="12">
        <v>6</v>
      </c>
      <c r="F5" s="12">
        <v>13</v>
      </c>
      <c r="G5" s="12">
        <v>22</v>
      </c>
      <c r="H5" s="12">
        <v>8</v>
      </c>
      <c r="I5" s="12">
        <v>4</v>
      </c>
      <c r="J5" s="21">
        <f>CEILING((C5/E5)*(D5/100), 1)</f>
        <v>20</v>
      </c>
    </row>
    <row r="6" spans="1:10" ht="19.95" customHeight="1" x14ac:dyDescent="0.3">
      <c r="A6" s="19" t="s">
        <v>80</v>
      </c>
      <c r="B6" s="20" t="s">
        <v>81</v>
      </c>
      <c r="C6" s="8">
        <v>210</v>
      </c>
      <c r="D6" s="8">
        <v>70</v>
      </c>
      <c r="E6" s="8">
        <v>5.5</v>
      </c>
      <c r="F6" s="8">
        <v>9.5</v>
      </c>
      <c r="G6" s="8">
        <v>18</v>
      </c>
      <c r="H6" s="8">
        <v>10</v>
      </c>
      <c r="I6" s="8">
        <v>5</v>
      </c>
      <c r="J6" s="21">
        <f>CEILING((C6/E6)*(D6/100), 1)</f>
        <v>27</v>
      </c>
    </row>
    <row r="7" spans="1:10" ht="19.95" customHeight="1" x14ac:dyDescent="0.3">
      <c r="A7" s="22" t="s">
        <v>82</v>
      </c>
      <c r="B7" s="23" t="s">
        <v>83</v>
      </c>
      <c r="C7" s="12">
        <v>240</v>
      </c>
      <c r="D7" s="12">
        <v>80</v>
      </c>
      <c r="E7" s="12">
        <v>4.5</v>
      </c>
      <c r="F7" s="12">
        <v>8</v>
      </c>
      <c r="G7" s="12">
        <v>14</v>
      </c>
      <c r="H7" s="12">
        <v>14</v>
      </c>
      <c r="I7" s="12">
        <v>7</v>
      </c>
      <c r="J7" s="21">
        <f>CEILING((C7/E7)*(D7/100), 1)</f>
        <v>43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H1"/>
    </sheetView>
  </sheetViews>
  <sheetFormatPr defaultRowHeight="14.4" x14ac:dyDescent="0.3"/>
  <sheetData>
    <row r="1" spans="1:8" ht="28.05" customHeight="1" x14ac:dyDescent="0.4">
      <c r="A1" s="28" t="s">
        <v>84</v>
      </c>
      <c r="B1" s="25"/>
      <c r="C1" s="25"/>
      <c r="D1" s="25"/>
      <c r="E1" s="25"/>
      <c r="F1" s="25"/>
      <c r="G1" s="25"/>
      <c r="H1" s="25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GameBalance</vt:lpstr>
      <vt:lpstr>LevelPresets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YETKİN</cp:lastModifiedBy>
  <dcterms:created xsi:type="dcterms:W3CDTF">2026-10-19T19:02:02Z</dcterms:created>
  <dcterms:modified xsi:type="dcterms:W3CDTF">2026-10-22T10:49:14Z</dcterms:modified>
</cp:coreProperties>
</file>